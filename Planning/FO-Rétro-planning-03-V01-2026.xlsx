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amuel.peignon\Documents\Teepee\Actemium\"/>
    </mc:Choice>
  </mc:AlternateContent>
  <xr:revisionPtr revIDLastSave="0" documentId="13_ncr:1_{EBC61ACE-3465-4577-A3EF-563CBC03E4B6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Retro-planning" sheetId="4" r:id="rId1"/>
  </sheets>
  <definedNames>
    <definedName name="_xlnm.Print_Area" localSheetId="0">'Retro-planning'!$A$1:$BN$22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9" i="4"/>
  <c r="E8" i="4"/>
  <c r="E7" i="4"/>
  <c r="E6" i="4"/>
  <c r="Q31" i="4"/>
  <c r="P31" i="4"/>
  <c r="O31" i="4"/>
  <c r="N31" i="4"/>
  <c r="M31" i="4"/>
  <c r="L31" i="4"/>
  <c r="K31" i="4"/>
  <c r="J31" i="4"/>
  <c r="I31" i="4"/>
  <c r="H31" i="4"/>
  <c r="G31" i="4"/>
  <c r="F31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29" i="4"/>
  <c r="D29" i="4" s="1"/>
  <c r="E28" i="4"/>
  <c r="D28" i="4"/>
  <c r="E27" i="4"/>
  <c r="D27" i="4" s="1"/>
  <c r="E26" i="4"/>
  <c r="D26" i="4" s="1"/>
  <c r="E25" i="4"/>
  <c r="D25" i="4" s="1"/>
  <c r="E24" i="4"/>
  <c r="D24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R16" i="4"/>
  <c r="E16" i="4"/>
  <c r="D16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BH14" i="4"/>
  <c r="BA14" i="4"/>
  <c r="AT14" i="4"/>
  <c r="AM14" i="4"/>
  <c r="AF14" i="4"/>
  <c r="Y14" i="4"/>
  <c r="R14" i="4"/>
  <c r="K14" i="4"/>
  <c r="F14" i="4"/>
  <c r="AL12" i="4"/>
  <c r="G12" i="4"/>
  <c r="F12" i="4"/>
  <c r="E30" i="4" l="1"/>
  <c r="E31" i="4" s="1"/>
  <c r="D30" i="4"/>
  <c r="D31" i="4" s="1"/>
</calcChain>
</file>

<file path=xl/sharedStrings.xml><?xml version="1.0" encoding="utf-8"?>
<sst xmlns="http://schemas.openxmlformats.org/spreadsheetml/2006/main" count="51" uniqueCount="31">
  <si>
    <t>RETRO-PLANNING</t>
  </si>
  <si>
    <t>Légende</t>
  </si>
  <si>
    <t>Organisation - Gestion de projet</t>
  </si>
  <si>
    <t xml:space="preserve">Bascule </t>
  </si>
  <si>
    <t>Axes
Stratégiques</t>
  </si>
  <si>
    <t>Liste des tâches</t>
  </si>
  <si>
    <t>Porteurs d'actions</t>
  </si>
  <si>
    <t>Rédacteur: Samuel Peignon</t>
  </si>
  <si>
    <t>Date de création: 06/10/2026</t>
  </si>
  <si>
    <t>Date mise à jour: 06/10/2026</t>
  </si>
  <si>
    <t>nbr de jours</t>
  </si>
  <si>
    <t>Samuel</t>
  </si>
  <si>
    <t xml:space="preserve">Porteur </t>
  </si>
  <si>
    <t>Heures</t>
  </si>
  <si>
    <t>Gestion de données</t>
  </si>
  <si>
    <t>Developpement Teepee</t>
  </si>
  <si>
    <t>Dashboard</t>
  </si>
  <si>
    <t>Samuel / Arnaud</t>
  </si>
  <si>
    <t xml:space="preserve">Heures : </t>
  </si>
  <si>
    <t>CONCEPTION DES FORMULAIRES &amp; LIENS</t>
  </si>
  <si>
    <t>VALIDATION DES FORMULAIRE</t>
  </si>
  <si>
    <t>DEVELOPPEMENT DASHBOARD PBI</t>
  </si>
  <si>
    <t>DEBUGGAGE APRES UTILISATION</t>
  </si>
  <si>
    <t>MODIFICATIONS / DEBUGGAGE</t>
  </si>
  <si>
    <t>FORMULAIRES QUALITÉ</t>
  </si>
  <si>
    <t>IMPORT ET INTEGRATION DES DONNEES (Clients_CODEX)</t>
  </si>
  <si>
    <t>TOTAL</t>
  </si>
  <si>
    <t>CONCEPTION DES FORMULAIRES &amp; LIENS + OPTION PLANNING</t>
  </si>
  <si>
    <t>FORMULAIRES PLANNIFICATION D'INTERVENTIONS</t>
  </si>
  <si>
    <t>PRESENTATION FONCTIONNEMENT</t>
  </si>
  <si>
    <t>A1400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</si>
</sst>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"/>
  </numFmts>
  <fonts count="17" x14ac:knownFonts="1">
    <font>
      <sz val="11"/>
      <color theme="1"/>
      <name val="Calibri"/>
      <family val="2"/>
      <scheme val="minor"/>
    </font>
    <font>
      <b/>
      <sz val="11"/>
      <name val="Vinci Sans"/>
      <family val="3"/>
    </font>
    <font>
      <sz val="11"/>
      <name val="Vinci Sans"/>
      <family val="3"/>
    </font>
    <font>
      <b/>
      <sz val="16"/>
      <name val="Vinci Sans"/>
      <family val="3"/>
    </font>
    <font>
      <b/>
      <sz val="18"/>
      <name val="Vinci Sans"/>
      <family val="3"/>
    </font>
    <font>
      <b/>
      <sz val="24"/>
      <name val="Vinci Sans"/>
      <family val="3"/>
    </font>
    <font>
      <sz val="9"/>
      <name val="Vinci Sans"/>
      <family val="3"/>
    </font>
    <font>
      <sz val="10"/>
      <name val="Vinci Sans"/>
      <family val="3"/>
    </font>
    <font>
      <b/>
      <sz val="12"/>
      <name val="Vinci Sans"/>
      <family val="3"/>
    </font>
    <font>
      <sz val="11"/>
      <color theme="1"/>
      <name val="Vinci Sans"/>
      <family val="3"/>
    </font>
    <font>
      <sz val="11"/>
      <color theme="4" tint="-0.249977111117893"/>
      <name val="Vinci Sans"/>
      <family val="3"/>
    </font>
    <font>
      <b/>
      <sz val="11"/>
      <color theme="0"/>
      <name val="Vinci Sans"/>
      <family val="3"/>
    </font>
    <font>
      <b/>
      <sz val="22"/>
      <color theme="0"/>
      <name val="Vinci Sans Medium"/>
      <family val="3"/>
    </font>
    <font>
      <sz val="16"/>
      <color theme="0"/>
      <name val="Vinci Sans"/>
      <family val="3"/>
    </font>
    <font>
      <sz val="10"/>
      <color theme="1"/>
      <name val="Vinci Sans"/>
      <family val="3"/>
    </font>
    <font>
      <b/>
      <sz val="14"/>
      <name val="Vinci Sans"/>
      <family val="3"/>
    </font>
    <font>
      <b/>
      <sz val="14"/>
      <color theme="1"/>
      <name val="Vinci San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medium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/>
      <bottom style="thin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medium">
        <color theme="3"/>
      </right>
      <top style="hair">
        <color theme="3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vertical="center" wrapText="1"/>
    </xf>
    <xf numFmtId="0" fontId="10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164" fontId="6" fillId="0" borderId="9" xfId="0" applyNumberFormat="1" applyFont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165" fontId="2" fillId="5" borderId="30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wrapText="1"/>
    </xf>
    <xf numFmtId="0" fontId="1" fillId="5" borderId="36" xfId="0" applyFont="1" applyFill="1" applyBorder="1" applyAlignment="1">
      <alignment horizontal="center" wrapText="1"/>
    </xf>
    <xf numFmtId="164" fontId="6" fillId="0" borderId="37" xfId="0" applyNumberFormat="1" applyFont="1" applyBorder="1" applyAlignment="1">
      <alignment horizontal="center" vertical="center"/>
    </xf>
    <xf numFmtId="164" fontId="6" fillId="0" borderId="38" xfId="0" applyNumberFormat="1" applyFont="1" applyBorder="1" applyAlignment="1">
      <alignment horizontal="center" vertical="center"/>
    </xf>
    <xf numFmtId="164" fontId="6" fillId="3" borderId="38" xfId="0" applyNumberFormat="1" applyFont="1" applyFill="1" applyBorder="1" applyAlignment="1">
      <alignment horizontal="center" vertical="center"/>
    </xf>
    <xf numFmtId="164" fontId="6" fillId="4" borderId="38" xfId="0" applyNumberFormat="1" applyFont="1" applyFill="1" applyBorder="1" applyAlignment="1">
      <alignment horizontal="center" vertical="center"/>
    </xf>
    <xf numFmtId="164" fontId="6" fillId="3" borderId="39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wrapText="1"/>
    </xf>
    <xf numFmtId="164" fontId="7" fillId="0" borderId="23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left" vertical="center"/>
    </xf>
    <xf numFmtId="0" fontId="14" fillId="9" borderId="12" xfId="0" applyFont="1" applyFill="1" applyBorder="1" applyAlignment="1">
      <alignment horizontal="left" vertical="center"/>
    </xf>
    <xf numFmtId="0" fontId="14" fillId="7" borderId="12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left" vertical="center"/>
    </xf>
    <xf numFmtId="0" fontId="9" fillId="10" borderId="0" xfId="0" applyFont="1" applyFill="1"/>
    <xf numFmtId="0" fontId="14" fillId="10" borderId="27" xfId="0" applyFont="1" applyFill="1" applyBorder="1" applyAlignment="1">
      <alignment horizontal="center" vertical="center"/>
    </xf>
    <xf numFmtId="164" fontId="6" fillId="8" borderId="12" xfId="0" applyNumberFormat="1" applyFont="1" applyFill="1" applyBorder="1" applyAlignment="1">
      <alignment vertical="center"/>
    </xf>
    <xf numFmtId="164" fontId="7" fillId="9" borderId="12" xfId="0" applyNumberFormat="1" applyFont="1" applyFill="1" applyBorder="1"/>
    <xf numFmtId="0" fontId="2" fillId="4" borderId="20" xfId="0" applyFont="1" applyFill="1" applyBorder="1" applyAlignment="1">
      <alignment vertical="center"/>
    </xf>
    <xf numFmtId="0" fontId="2" fillId="4" borderId="20" xfId="0" applyFont="1" applyFill="1" applyBorder="1" applyAlignment="1">
      <alignment horizontal="center" vertical="center"/>
    </xf>
    <xf numFmtId="0" fontId="2" fillId="7" borderId="18" xfId="0" applyFont="1" applyFill="1" applyBorder="1"/>
    <xf numFmtId="0" fontId="7" fillId="10" borderId="12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1" fontId="2" fillId="4" borderId="20" xfId="0" applyNumberFormat="1" applyFont="1" applyFill="1" applyBorder="1" applyAlignment="1">
      <alignment vertical="center"/>
    </xf>
    <xf numFmtId="0" fontId="15" fillId="5" borderId="29" xfId="0" applyFont="1" applyFill="1" applyBorder="1" applyAlignment="1">
      <alignment horizontal="center" wrapText="1"/>
    </xf>
    <xf numFmtId="0" fontId="15" fillId="5" borderId="36" xfId="0" applyFont="1" applyFill="1" applyBorder="1" applyAlignment="1">
      <alignment horizontal="center" wrapText="1"/>
    </xf>
    <xf numFmtId="164" fontId="15" fillId="3" borderId="38" xfId="0" applyNumberFormat="1" applyFont="1" applyFill="1" applyBorder="1" applyAlignment="1">
      <alignment horizontal="center" vertical="center"/>
    </xf>
    <xf numFmtId="0" fontId="16" fillId="0" borderId="0" xfId="0" applyFont="1"/>
    <xf numFmtId="0" fontId="8" fillId="5" borderId="31" xfId="0" applyFont="1" applyFill="1" applyBorder="1" applyAlignment="1">
      <alignment horizontal="center" vertical="center" wrapText="1"/>
    </xf>
    <xf numFmtId="0" fontId="2" fillId="5" borderId="31" xfId="0" applyFont="1" applyFill="1" applyBorder="1"/>
    <xf numFmtId="0" fontId="8" fillId="5" borderId="3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" fontId="8" fillId="5" borderId="2" xfId="0" applyNumberFormat="1" applyFont="1" applyFill="1" applyBorder="1" applyAlignment="1">
      <alignment horizontal="center" vertical="center"/>
    </xf>
    <xf numFmtId="17" fontId="8" fillId="5" borderId="33" xfId="0" applyNumberFormat="1" applyFont="1" applyFill="1" applyBorder="1" applyAlignment="1">
      <alignment horizontal="center" vertical="center"/>
    </xf>
    <xf numFmtId="17" fontId="8" fillId="5" borderId="32" xfId="0" applyNumberFormat="1" applyFont="1" applyFill="1" applyBorder="1" applyAlignment="1">
      <alignment horizontal="center" vertical="center"/>
    </xf>
    <xf numFmtId="17" fontId="8" fillId="5" borderId="34" xfId="0" applyNumberFormat="1" applyFont="1" applyFill="1" applyBorder="1" applyAlignment="1">
      <alignment horizontal="center" vertical="center"/>
    </xf>
    <xf numFmtId="17" fontId="8" fillId="5" borderId="6" xfId="0" applyNumberFormat="1" applyFont="1" applyFill="1" applyBorder="1" applyAlignment="1">
      <alignment horizontal="center" vertical="center"/>
    </xf>
    <xf numFmtId="17" fontId="8" fillId="5" borderId="8" xfId="0" applyNumberFormat="1" applyFont="1" applyFill="1" applyBorder="1" applyAlignment="1">
      <alignment horizontal="center" vertical="center"/>
    </xf>
    <xf numFmtId="17" fontId="8" fillId="5" borderId="7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3" fillId="0" borderId="13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/>
    <xf numFmtId="0" fontId="2" fillId="5" borderId="5" xfId="0" applyFont="1" applyFill="1" applyBorder="1"/>
    <xf numFmtId="0" fontId="3" fillId="5" borderId="31" xfId="0" applyFont="1" applyFill="1" applyBorder="1" applyAlignment="1">
      <alignment horizontal="center" vertical="center" wrapText="1"/>
    </xf>
    <xf numFmtId="17" fontId="8" fillId="5" borderId="31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rgb="FF00206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1</xdr:col>
      <xdr:colOff>1312217</xdr:colOff>
      <xdr:row>2</xdr:row>
      <xdr:rowOff>167640</xdr:rowOff>
    </xdr:to>
    <xdr:pic>
      <xdr:nvPicPr>
        <xdr:cNvPr id="28640" name="Image 1">
          <a:extLst>
            <a:ext uri="{FF2B5EF4-FFF2-40B4-BE49-F238E27FC236}">
              <a16:creationId xmlns:a16="http://schemas.microsoft.com/office/drawing/2014/main" id="{00000000-0008-0000-0000-0000E06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323"/>
        <a:stretch>
          <a:fillRect/>
        </a:stretch>
      </xdr:blipFill>
      <xdr:spPr bwMode="auto">
        <a:xfrm>
          <a:off x="542925" y="28575"/>
          <a:ext cx="25527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0</xdr:colOff>
      <xdr:row>27</xdr:row>
      <xdr:rowOff>0</xdr:rowOff>
    </xdr:from>
    <xdr:to>
      <xdr:col>60</xdr:col>
      <xdr:colOff>55245</xdr:colOff>
      <xdr:row>28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73E5E83-658F-3556-43E7-D43942DD113C}"/>
            </a:ext>
          </a:extLst>
        </xdr:cNvPr>
        <xdr:cNvSpPr>
          <a:spLocks noChangeAspect="1" noChangeArrowheads="1"/>
        </xdr:cNvSpPr>
      </xdr:nvSpPr>
      <xdr:spPr bwMode="auto">
        <a:xfrm>
          <a:off x="1937004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AXIANS">
      <a:dk1>
        <a:srgbClr val="FFFFFF"/>
      </a:dk1>
      <a:lt1>
        <a:srgbClr val="005EB8"/>
      </a:lt1>
      <a:dk2>
        <a:srgbClr val="B1B3B4"/>
      </a:dk2>
      <a:lt2>
        <a:srgbClr val="662483"/>
      </a:lt2>
      <a:accent1>
        <a:srgbClr val="A20067"/>
      </a:accent1>
      <a:accent2>
        <a:srgbClr val="00B1EB"/>
      </a:accent2>
      <a:accent3>
        <a:srgbClr val="E50051"/>
      </a:accent3>
      <a:accent4>
        <a:srgbClr val="EC6726"/>
      </a:accent4>
      <a:accent5>
        <a:srgbClr val="E6007E"/>
      </a:accent5>
      <a:accent6>
        <a:srgbClr val="95C11F"/>
      </a:accent6>
      <a:hlink>
        <a:srgbClr val="97663D"/>
      </a:hlink>
      <a:folHlink>
        <a:srgbClr val="FFCC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80"/>
  <sheetViews>
    <sheetView tabSelected="1" zoomScale="55" zoomScaleNormal="55" workbookViewId="0">
      <selection activeCell="AI34" sqref="AI34"/>
    </sheetView>
  </sheetViews>
  <sheetFormatPr baseColWidth="10" defaultColWidth="11.44140625" defaultRowHeight="15" x14ac:dyDescent="0.35"/>
  <cols>
    <col min="1" max="1" width="26.33203125" style="2" customWidth="1"/>
    <col min="2" max="2" width="55.109375" style="3" customWidth="1"/>
    <col min="3" max="3" width="20.109375" style="1" bestFit="1" customWidth="1"/>
    <col min="4" max="4" width="20.109375" style="1" customWidth="1"/>
    <col min="5" max="5" width="20.109375" style="1" bestFit="1" customWidth="1"/>
    <col min="6" max="17" width="3.44140625" style="1" hidden="1" customWidth="1"/>
    <col min="18" max="66" width="3.44140625" style="1" customWidth="1"/>
    <col min="67" max="16384" width="11.44140625" style="1"/>
  </cols>
  <sheetData>
    <row r="1" spans="1:66" ht="21.75" customHeight="1" x14ac:dyDescent="0.35">
      <c r="A1" s="84"/>
      <c r="B1" s="85"/>
      <c r="C1" s="101" t="s">
        <v>30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99" t="s">
        <v>7</v>
      </c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100"/>
    </row>
    <row r="2" spans="1:66" ht="15.75" customHeight="1" x14ac:dyDescent="0.35">
      <c r="A2" s="86"/>
      <c r="B2" s="87"/>
      <c r="C2" s="102" t="s">
        <v>0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80" t="s">
        <v>9</v>
      </c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1"/>
    </row>
    <row r="3" spans="1:66" ht="16.5" customHeight="1" thickBot="1" x14ac:dyDescent="0.4">
      <c r="A3" s="88"/>
      <c r="B3" s="89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82" t="s">
        <v>8</v>
      </c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3"/>
    </row>
    <row r="4" spans="1:66" x14ac:dyDescent="0.35">
      <c r="A4" s="5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66" ht="15.6" thickBot="1" x14ac:dyDescent="0.4">
      <c r="A5" s="14"/>
      <c r="B5" s="15"/>
      <c r="C5" s="15"/>
      <c r="D5" s="15"/>
      <c r="E5" s="15"/>
      <c r="F5" s="15"/>
      <c r="G5" s="15"/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66" x14ac:dyDescent="0.35">
      <c r="A6" s="90" t="s">
        <v>1</v>
      </c>
      <c r="B6" s="21" t="s">
        <v>2</v>
      </c>
      <c r="C6" s="49"/>
      <c r="D6" s="48" t="s">
        <v>18</v>
      </c>
      <c r="E6" s="53">
        <f>D18+D20+D25+D27</f>
        <v>12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3"/>
    </row>
    <row r="7" spans="1:66" x14ac:dyDescent="0.35">
      <c r="A7" s="91"/>
      <c r="B7" s="22" t="s">
        <v>14</v>
      </c>
      <c r="C7" s="45"/>
      <c r="D7" s="48" t="s">
        <v>18</v>
      </c>
      <c r="E7" s="53">
        <f>SUM(D16)</f>
        <v>4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5"/>
    </row>
    <row r="8" spans="1:66" x14ac:dyDescent="0.35">
      <c r="A8" s="91"/>
      <c r="B8" s="22" t="s">
        <v>15</v>
      </c>
      <c r="C8" s="46"/>
      <c r="D8" s="48" t="s">
        <v>18</v>
      </c>
      <c r="E8" s="53">
        <f>D17+D19+D24+D26</f>
        <v>147.5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5"/>
    </row>
    <row r="9" spans="1:66" x14ac:dyDescent="0.35">
      <c r="A9" s="91"/>
      <c r="B9" s="22" t="s">
        <v>3</v>
      </c>
      <c r="C9" s="50"/>
      <c r="D9" s="48" t="s">
        <v>18</v>
      </c>
      <c r="E9" s="47">
        <f>D21+D28</f>
        <v>16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5"/>
    </row>
    <row r="10" spans="1:66" x14ac:dyDescent="0.35">
      <c r="A10" s="91"/>
      <c r="B10" s="22" t="s">
        <v>16</v>
      </c>
      <c r="C10" s="51"/>
      <c r="D10" s="48" t="s">
        <v>18</v>
      </c>
      <c r="E10" s="47">
        <f>D22+D29</f>
        <v>59.5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5"/>
    </row>
    <row r="11" spans="1:66" ht="15.6" thickBot="1" x14ac:dyDescent="0.4">
      <c r="A11" s="92"/>
      <c r="B11" s="52"/>
      <c r="C11" s="47"/>
      <c r="D11" s="47"/>
      <c r="E11" s="47"/>
      <c r="F11" s="6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8"/>
    </row>
    <row r="12" spans="1:66" ht="15" customHeight="1" thickBot="1" x14ac:dyDescent="0.4">
      <c r="A12" s="94" t="s">
        <v>4</v>
      </c>
      <c r="B12" s="97" t="s">
        <v>5</v>
      </c>
      <c r="C12" s="58" t="s">
        <v>6</v>
      </c>
      <c r="D12" s="58"/>
      <c r="E12" s="59"/>
      <c r="F12" s="69" t="str">
        <f>PROPER(TEXT(F15,"mmmm"))</f>
        <v>Septembre</v>
      </c>
      <c r="G12" s="70" t="str">
        <f>PROPER(TEXT(G15,"mmmm"))</f>
        <v>Octobre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2"/>
      <c r="AL12" s="98" t="str">
        <f>PROPER(TEXT(AL15,"mmmm"))</f>
        <v>Novembre</v>
      </c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</row>
    <row r="13" spans="1:66" ht="15.6" customHeight="1" thickBot="1" x14ac:dyDescent="0.4">
      <c r="A13" s="95"/>
      <c r="B13" s="59"/>
      <c r="C13" s="59"/>
      <c r="D13" s="59"/>
      <c r="E13" s="59"/>
      <c r="F13" s="69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5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</row>
    <row r="14" spans="1:66" ht="17.399999999999999" thickBot="1" x14ac:dyDescent="0.4">
      <c r="A14" s="95"/>
      <c r="B14" s="59"/>
      <c r="C14" s="59"/>
      <c r="D14" s="59"/>
      <c r="E14" s="59"/>
      <c r="F14" s="61">
        <f>IF(OR(WEEKDAY(F15,2)=1,COLUMN()=COLUMN($F$15)),_xlfn.ISOWEEKNUM(F15),"")</f>
        <v>40</v>
      </c>
      <c r="G14" s="60"/>
      <c r="H14" s="60"/>
      <c r="I14" s="60"/>
      <c r="J14" s="60"/>
      <c r="K14" s="60">
        <f>IF(OR(WEEKDAY(K15,2)=1,COLUMN()=COLUMN($F$15)),_xlfn.ISOWEEKNUM(K15),"")</f>
        <v>41</v>
      </c>
      <c r="L14" s="60"/>
      <c r="M14" s="60"/>
      <c r="N14" s="60"/>
      <c r="O14" s="60"/>
      <c r="P14" s="60"/>
      <c r="Q14" s="60"/>
      <c r="R14" s="60">
        <f>IF(OR(WEEKDAY(R15,2)=1,COLUMN()=COLUMN($F$15)),_xlfn.ISOWEEKNUM(R15),"")</f>
        <v>42</v>
      </c>
      <c r="S14" s="60"/>
      <c r="T14" s="60"/>
      <c r="U14" s="60"/>
      <c r="V14" s="60"/>
      <c r="W14" s="60"/>
      <c r="X14" s="60"/>
      <c r="Y14" s="60">
        <f>IF(OR(WEEKDAY(Y15,2)=1,COLUMN()=COLUMN($F$15)),_xlfn.ISOWEEKNUM(Y15),"")</f>
        <v>43</v>
      </c>
      <c r="Z14" s="60"/>
      <c r="AA14" s="60"/>
      <c r="AB14" s="60"/>
      <c r="AC14" s="60"/>
      <c r="AD14" s="60"/>
      <c r="AE14" s="60"/>
      <c r="AF14" s="60">
        <f>IF(OR(WEEKDAY(AF15,2)=1,COLUMN()=COLUMN($F$15)),_xlfn.ISOWEEKNUM(AF15),"")</f>
        <v>44</v>
      </c>
      <c r="AG14" s="60"/>
      <c r="AH14" s="60"/>
      <c r="AI14" s="60"/>
      <c r="AJ14" s="60"/>
      <c r="AK14" s="60"/>
      <c r="AL14" s="60"/>
      <c r="AM14" s="60">
        <f>IF(OR(WEEKDAY(AM15,2)=1,COLUMN()=COLUMN($F$15)),_xlfn.ISOWEEKNUM(AM15),"")</f>
        <v>45</v>
      </c>
      <c r="AN14" s="60"/>
      <c r="AO14" s="60"/>
      <c r="AP14" s="60"/>
      <c r="AQ14" s="60"/>
      <c r="AR14" s="60"/>
      <c r="AS14" s="60"/>
      <c r="AT14" s="60">
        <f>IF(OR(WEEKDAY(AT15,2)=1,COLUMN()=COLUMN($F$15)),_xlfn.ISOWEEKNUM(AT15),"")</f>
        <v>46</v>
      </c>
      <c r="AU14" s="60"/>
      <c r="AV14" s="60"/>
      <c r="AW14" s="60"/>
      <c r="AX14" s="60"/>
      <c r="AY14" s="60"/>
      <c r="AZ14" s="60"/>
      <c r="BA14" s="60">
        <f>IF(OR(WEEKDAY(BA15,2)=1,COLUMN()=COLUMN($F$15)),_xlfn.ISOWEEKNUM(BA15),"")</f>
        <v>47</v>
      </c>
      <c r="BB14" s="60"/>
      <c r="BC14" s="60"/>
      <c r="BD14" s="60"/>
      <c r="BE14" s="60"/>
      <c r="BF14" s="60"/>
      <c r="BG14" s="60"/>
      <c r="BH14" s="60">
        <f>IF(OR(WEEKDAY(BH15,2)=1,COLUMN()=COLUMN($F$15)),_xlfn.ISOWEEKNUM(BH15),"")</f>
        <v>48</v>
      </c>
      <c r="BI14" s="60"/>
      <c r="BJ14" s="60"/>
      <c r="BK14" s="60"/>
      <c r="BL14" s="60"/>
      <c r="BM14" s="60"/>
      <c r="BN14" s="60"/>
    </row>
    <row r="15" spans="1:66" ht="15.6" thickBot="1" x14ac:dyDescent="0.4">
      <c r="A15" s="96"/>
      <c r="B15" s="59"/>
      <c r="C15" s="32" t="s">
        <v>12</v>
      </c>
      <c r="D15" s="32" t="s">
        <v>13</v>
      </c>
      <c r="E15" s="32" t="s">
        <v>10</v>
      </c>
      <c r="F15" s="24">
        <f>DATE(2026,9,30)</f>
        <v>46295</v>
      </c>
      <c r="G15" s="24">
        <f>F15+1</f>
        <v>46296</v>
      </c>
      <c r="H15" s="24">
        <f t="shared" ref="H15:BN15" si="0">G15+1</f>
        <v>46297</v>
      </c>
      <c r="I15" s="24">
        <f t="shared" si="0"/>
        <v>46298</v>
      </c>
      <c r="J15" s="24">
        <f>I15+1</f>
        <v>46299</v>
      </c>
      <c r="K15" s="23">
        <f>J15+1</f>
        <v>46300</v>
      </c>
      <c r="L15" s="23">
        <f t="shared" si="0"/>
        <v>46301</v>
      </c>
      <c r="M15" s="23">
        <f t="shared" si="0"/>
        <v>46302</v>
      </c>
      <c r="N15" s="23">
        <f t="shared" si="0"/>
        <v>46303</v>
      </c>
      <c r="O15" s="23">
        <f t="shared" si="0"/>
        <v>46304</v>
      </c>
      <c r="P15" s="23">
        <f t="shared" si="0"/>
        <v>46305</v>
      </c>
      <c r="Q15" s="23">
        <f t="shared" si="0"/>
        <v>46306</v>
      </c>
      <c r="R15" s="23">
        <f t="shared" si="0"/>
        <v>46307</v>
      </c>
      <c r="S15" s="23">
        <f t="shared" si="0"/>
        <v>46308</v>
      </c>
      <c r="T15" s="23">
        <f t="shared" si="0"/>
        <v>46309</v>
      </c>
      <c r="U15" s="23">
        <f t="shared" si="0"/>
        <v>46310</v>
      </c>
      <c r="V15" s="23">
        <f t="shared" si="0"/>
        <v>46311</v>
      </c>
      <c r="W15" s="23">
        <f t="shared" si="0"/>
        <v>46312</v>
      </c>
      <c r="X15" s="23">
        <f t="shared" si="0"/>
        <v>46313</v>
      </c>
      <c r="Y15" s="23">
        <f t="shared" si="0"/>
        <v>46314</v>
      </c>
      <c r="Z15" s="23">
        <f t="shared" si="0"/>
        <v>46315</v>
      </c>
      <c r="AA15" s="23">
        <f t="shared" si="0"/>
        <v>46316</v>
      </c>
      <c r="AB15" s="23">
        <f t="shared" si="0"/>
        <v>46317</v>
      </c>
      <c r="AC15" s="23">
        <f t="shared" si="0"/>
        <v>46318</v>
      </c>
      <c r="AD15" s="23">
        <f t="shared" si="0"/>
        <v>46319</v>
      </c>
      <c r="AE15" s="23">
        <f t="shared" si="0"/>
        <v>46320</v>
      </c>
      <c r="AF15" s="23">
        <f t="shared" si="0"/>
        <v>46321</v>
      </c>
      <c r="AG15" s="23">
        <f t="shared" si="0"/>
        <v>46322</v>
      </c>
      <c r="AH15" s="23">
        <f t="shared" si="0"/>
        <v>46323</v>
      </c>
      <c r="AI15" s="23">
        <f t="shared" si="0"/>
        <v>46324</v>
      </c>
      <c r="AJ15" s="23">
        <f>AI15+1</f>
        <v>46325</v>
      </c>
      <c r="AK15" s="23">
        <f t="shared" si="0"/>
        <v>46326</v>
      </c>
      <c r="AL15" s="23">
        <f t="shared" si="0"/>
        <v>46327</v>
      </c>
      <c r="AM15" s="23">
        <f t="shared" si="0"/>
        <v>46328</v>
      </c>
      <c r="AN15" s="23">
        <f t="shared" si="0"/>
        <v>46329</v>
      </c>
      <c r="AO15" s="23">
        <f t="shared" si="0"/>
        <v>46330</v>
      </c>
      <c r="AP15" s="23">
        <f t="shared" si="0"/>
        <v>46331</v>
      </c>
      <c r="AQ15" s="23">
        <f t="shared" si="0"/>
        <v>46332</v>
      </c>
      <c r="AR15" s="23">
        <f t="shared" si="0"/>
        <v>46333</v>
      </c>
      <c r="AS15" s="23">
        <f t="shared" si="0"/>
        <v>46334</v>
      </c>
      <c r="AT15" s="23">
        <f t="shared" si="0"/>
        <v>46335</v>
      </c>
      <c r="AU15" s="23">
        <f t="shared" si="0"/>
        <v>46336</v>
      </c>
      <c r="AV15" s="23">
        <f t="shared" si="0"/>
        <v>46337</v>
      </c>
      <c r="AW15" s="23">
        <f t="shared" si="0"/>
        <v>46338</v>
      </c>
      <c r="AX15" s="23">
        <f t="shared" si="0"/>
        <v>46339</v>
      </c>
      <c r="AY15" s="23">
        <f t="shared" si="0"/>
        <v>46340</v>
      </c>
      <c r="AZ15" s="23">
        <f t="shared" si="0"/>
        <v>46341</v>
      </c>
      <c r="BA15" s="23">
        <f t="shared" si="0"/>
        <v>46342</v>
      </c>
      <c r="BB15" s="23">
        <f t="shared" si="0"/>
        <v>46343</v>
      </c>
      <c r="BC15" s="23">
        <f t="shared" si="0"/>
        <v>46344</v>
      </c>
      <c r="BD15" s="23">
        <f t="shared" si="0"/>
        <v>46345</v>
      </c>
      <c r="BE15" s="23">
        <f t="shared" si="0"/>
        <v>46346</v>
      </c>
      <c r="BF15" s="23">
        <f t="shared" si="0"/>
        <v>46347</v>
      </c>
      <c r="BG15" s="23">
        <f t="shared" si="0"/>
        <v>46348</v>
      </c>
      <c r="BH15" s="23">
        <f t="shared" si="0"/>
        <v>46349</v>
      </c>
      <c r="BI15" s="23">
        <f t="shared" si="0"/>
        <v>46350</v>
      </c>
      <c r="BJ15" s="23">
        <f t="shared" si="0"/>
        <v>46351</v>
      </c>
      <c r="BK15" s="23">
        <f t="shared" si="0"/>
        <v>46352</v>
      </c>
      <c r="BL15" s="23">
        <f t="shared" si="0"/>
        <v>46353</v>
      </c>
      <c r="BM15" s="23">
        <f t="shared" si="0"/>
        <v>46354</v>
      </c>
      <c r="BN15" s="23">
        <f t="shared" si="0"/>
        <v>46355</v>
      </c>
    </row>
    <row r="16" spans="1:66" x14ac:dyDescent="0.35">
      <c r="A16" s="76" t="s">
        <v>24</v>
      </c>
      <c r="B16" s="39" t="s">
        <v>25</v>
      </c>
      <c r="C16" s="36" t="s">
        <v>11</v>
      </c>
      <c r="D16" s="34">
        <f t="shared" ref="D16:D21" si="1">ROUNDUP(E16*39/5,0)</f>
        <v>4</v>
      </c>
      <c r="E16" s="33">
        <f>SUM(F16:BN16)</f>
        <v>0.5</v>
      </c>
      <c r="F16" s="20"/>
      <c r="G16" s="16"/>
      <c r="H16" s="16"/>
      <c r="I16" s="17"/>
      <c r="J16" s="17"/>
      <c r="K16" s="16"/>
      <c r="L16" s="16"/>
      <c r="M16" s="16"/>
      <c r="N16" s="16"/>
      <c r="O16" s="16"/>
      <c r="P16" s="17"/>
      <c r="Q16" s="17"/>
      <c r="R16" s="16">
        <f>0.5</f>
        <v>0.5</v>
      </c>
      <c r="S16" s="16"/>
      <c r="T16" s="16"/>
      <c r="U16" s="16"/>
      <c r="V16" s="16"/>
      <c r="W16" s="17"/>
      <c r="X16" s="17"/>
      <c r="Y16" s="16"/>
      <c r="Z16" s="16"/>
      <c r="AA16" s="16"/>
      <c r="AB16" s="16"/>
      <c r="AC16" s="16"/>
      <c r="AD16" s="17"/>
      <c r="AE16" s="17"/>
      <c r="AF16" s="16"/>
      <c r="AG16" s="16"/>
      <c r="AH16" s="16"/>
      <c r="AI16" s="18"/>
      <c r="AJ16" s="18"/>
      <c r="AK16" s="17"/>
      <c r="AL16" s="17"/>
      <c r="AM16" s="16"/>
      <c r="AN16" s="16"/>
      <c r="AO16" s="16"/>
      <c r="AP16" s="18"/>
      <c r="AQ16" s="18"/>
      <c r="AR16" s="17"/>
      <c r="AS16" s="17"/>
      <c r="AT16" s="18"/>
      <c r="AU16" s="18"/>
      <c r="AV16" s="18"/>
      <c r="AW16" s="18"/>
      <c r="AX16" s="18"/>
      <c r="AY16" s="17"/>
      <c r="AZ16" s="17"/>
      <c r="BA16" s="18"/>
      <c r="BB16" s="18"/>
      <c r="BC16" s="18"/>
      <c r="BD16" s="18"/>
      <c r="BE16" s="18"/>
      <c r="BF16" s="17"/>
      <c r="BG16" s="17"/>
      <c r="BH16" s="16"/>
      <c r="BI16" s="16"/>
      <c r="BJ16" s="16"/>
      <c r="BK16" s="16"/>
      <c r="BL16" s="16"/>
      <c r="BM16" s="17"/>
      <c r="BN16" s="19"/>
    </row>
    <row r="17" spans="1:66" x14ac:dyDescent="0.35">
      <c r="A17" s="93"/>
      <c r="B17" s="40" t="s">
        <v>19</v>
      </c>
      <c r="C17" s="37" t="s">
        <v>17</v>
      </c>
      <c r="D17" s="34">
        <f t="shared" si="1"/>
        <v>67</v>
      </c>
      <c r="E17" s="33">
        <f t="shared" ref="E17:E22" si="2">SUM(F17:BN17)</f>
        <v>8.5</v>
      </c>
      <c r="F17" s="20"/>
      <c r="G17" s="16"/>
      <c r="H17" s="16"/>
      <c r="I17" s="17"/>
      <c r="J17" s="17"/>
      <c r="K17" s="16"/>
      <c r="L17" s="16"/>
      <c r="M17" s="16"/>
      <c r="N17" s="16"/>
      <c r="O17" s="16"/>
      <c r="P17" s="17"/>
      <c r="Q17" s="17"/>
      <c r="R17" s="16">
        <v>0.5</v>
      </c>
      <c r="S17" s="16">
        <v>1</v>
      </c>
      <c r="T17" s="16">
        <v>1</v>
      </c>
      <c r="U17" s="16">
        <v>1</v>
      </c>
      <c r="V17" s="16">
        <v>1</v>
      </c>
      <c r="W17" s="17"/>
      <c r="X17" s="17"/>
      <c r="Y17" s="16">
        <v>1</v>
      </c>
      <c r="Z17" s="16">
        <v>1</v>
      </c>
      <c r="AA17" s="16">
        <v>1</v>
      </c>
      <c r="AB17" s="16">
        <v>1</v>
      </c>
      <c r="AC17" s="16"/>
      <c r="AD17" s="17"/>
      <c r="AE17" s="17"/>
      <c r="AF17" s="16"/>
      <c r="AG17" s="16"/>
      <c r="AH17" s="16"/>
      <c r="AI17" s="18"/>
      <c r="AJ17" s="18"/>
      <c r="AK17" s="17"/>
      <c r="AL17" s="17"/>
      <c r="AM17" s="16"/>
      <c r="AN17" s="16"/>
      <c r="AO17" s="16"/>
      <c r="AP17" s="18"/>
      <c r="AQ17" s="18"/>
      <c r="AR17" s="17"/>
      <c r="AS17" s="17"/>
      <c r="AT17" s="18"/>
      <c r="AU17" s="18"/>
      <c r="AV17" s="18"/>
      <c r="AW17" s="18"/>
      <c r="AX17" s="18"/>
      <c r="AY17" s="17"/>
      <c r="AZ17" s="17"/>
      <c r="BA17" s="18"/>
      <c r="BB17" s="18"/>
      <c r="BC17" s="18"/>
      <c r="BD17" s="18"/>
      <c r="BE17" s="18"/>
      <c r="BF17" s="17"/>
      <c r="BG17" s="17"/>
      <c r="BH17" s="16"/>
      <c r="BI17" s="16"/>
      <c r="BJ17" s="16"/>
      <c r="BK17" s="16"/>
      <c r="BL17" s="16"/>
      <c r="BM17" s="17"/>
      <c r="BN17" s="19"/>
    </row>
    <row r="18" spans="1:66" x14ac:dyDescent="0.35">
      <c r="A18" s="93"/>
      <c r="B18" s="41" t="s">
        <v>20</v>
      </c>
      <c r="C18" s="35" t="s">
        <v>17</v>
      </c>
      <c r="D18" s="34">
        <f t="shared" si="1"/>
        <v>2</v>
      </c>
      <c r="E18" s="33">
        <f t="shared" si="2"/>
        <v>0.2</v>
      </c>
      <c r="F18" s="20"/>
      <c r="G18" s="16"/>
      <c r="H18" s="16"/>
      <c r="I18" s="17"/>
      <c r="J18" s="17"/>
      <c r="K18" s="16"/>
      <c r="L18" s="16"/>
      <c r="M18" s="16"/>
      <c r="N18" s="16"/>
      <c r="O18" s="16"/>
      <c r="P18" s="17"/>
      <c r="Q18" s="17"/>
      <c r="R18" s="16"/>
      <c r="S18" s="16"/>
      <c r="T18" s="16"/>
      <c r="U18" s="16"/>
      <c r="V18" s="16"/>
      <c r="W18" s="17"/>
      <c r="X18" s="17"/>
      <c r="Y18" s="16"/>
      <c r="Z18" s="16"/>
      <c r="AA18" s="16"/>
      <c r="AB18" s="16"/>
      <c r="AC18" s="16">
        <v>0.2</v>
      </c>
      <c r="AD18" s="17"/>
      <c r="AE18" s="17"/>
      <c r="AF18" s="16"/>
      <c r="AG18" s="16"/>
      <c r="AH18" s="16"/>
      <c r="AI18" s="18"/>
      <c r="AJ18" s="18"/>
      <c r="AK18" s="17"/>
      <c r="AL18" s="17"/>
      <c r="AM18" s="16"/>
      <c r="AN18" s="16"/>
      <c r="AO18" s="16"/>
      <c r="AP18" s="18"/>
      <c r="AQ18" s="18"/>
      <c r="AR18" s="17"/>
      <c r="AS18" s="17"/>
      <c r="AT18" s="18"/>
      <c r="AU18" s="18"/>
      <c r="AV18" s="18"/>
      <c r="AW18" s="18"/>
      <c r="AX18" s="18"/>
      <c r="AY18" s="17"/>
      <c r="AZ18" s="17"/>
      <c r="BA18" s="18"/>
      <c r="BB18" s="18"/>
      <c r="BC18" s="18"/>
      <c r="BD18" s="18"/>
      <c r="BE18" s="18"/>
      <c r="BF18" s="17"/>
      <c r="BG18" s="17"/>
      <c r="BH18" s="16"/>
      <c r="BI18" s="16"/>
      <c r="BJ18" s="16"/>
      <c r="BK18" s="16"/>
      <c r="BL18" s="16"/>
      <c r="BM18" s="17"/>
      <c r="BN18" s="19"/>
    </row>
    <row r="19" spans="1:66" x14ac:dyDescent="0.35">
      <c r="A19" s="93"/>
      <c r="B19" s="40" t="s">
        <v>23</v>
      </c>
      <c r="C19" s="37" t="s">
        <v>11</v>
      </c>
      <c r="D19" s="34">
        <f t="shared" si="1"/>
        <v>21</v>
      </c>
      <c r="E19" s="33">
        <f t="shared" si="2"/>
        <v>2.6</v>
      </c>
      <c r="F19" s="20"/>
      <c r="G19" s="16"/>
      <c r="H19" s="16"/>
      <c r="I19" s="17"/>
      <c r="J19" s="17"/>
      <c r="K19" s="16"/>
      <c r="L19" s="16"/>
      <c r="M19" s="16"/>
      <c r="N19" s="16"/>
      <c r="O19" s="16"/>
      <c r="P19" s="17"/>
      <c r="Q19" s="17"/>
      <c r="R19" s="16"/>
      <c r="S19" s="16"/>
      <c r="T19" s="16"/>
      <c r="U19" s="16"/>
      <c r="V19" s="16"/>
      <c r="W19" s="17"/>
      <c r="X19" s="17"/>
      <c r="Y19" s="16"/>
      <c r="AC19" s="16">
        <v>0.8</v>
      </c>
      <c r="AD19" s="17"/>
      <c r="AE19" s="17"/>
      <c r="AF19" s="16">
        <v>1</v>
      </c>
      <c r="AG19" s="16">
        <v>0.8</v>
      </c>
      <c r="AH19" s="16"/>
      <c r="AI19" s="18"/>
      <c r="AJ19" s="18"/>
      <c r="AK19" s="17"/>
      <c r="AL19" s="17"/>
      <c r="AM19" s="16"/>
      <c r="AN19" s="16"/>
      <c r="AO19" s="16"/>
      <c r="AP19" s="18"/>
      <c r="AQ19" s="18"/>
      <c r="AR19" s="17"/>
      <c r="AS19" s="17"/>
      <c r="AT19" s="18"/>
      <c r="AU19" s="18"/>
      <c r="AV19" s="18"/>
      <c r="AW19" s="18"/>
      <c r="AX19" s="18"/>
      <c r="AY19" s="17"/>
      <c r="AZ19" s="17"/>
      <c r="BA19" s="18"/>
      <c r="BB19" s="18"/>
      <c r="BC19" s="18"/>
      <c r="BD19" s="18"/>
      <c r="BE19" s="18"/>
      <c r="BF19" s="17"/>
      <c r="BG19" s="17"/>
      <c r="BH19" s="16"/>
      <c r="BI19" s="16"/>
      <c r="BJ19" s="16"/>
      <c r="BK19" s="16"/>
      <c r="BL19" s="16"/>
      <c r="BM19" s="17"/>
      <c r="BN19" s="19"/>
    </row>
    <row r="20" spans="1:66" x14ac:dyDescent="0.35">
      <c r="A20" s="93"/>
      <c r="B20" s="41" t="s">
        <v>29</v>
      </c>
      <c r="C20" s="35" t="s">
        <v>17</v>
      </c>
      <c r="D20" s="34">
        <f t="shared" si="1"/>
        <v>4</v>
      </c>
      <c r="E20" s="33">
        <f t="shared" si="2"/>
        <v>0.4</v>
      </c>
      <c r="F20" s="20"/>
      <c r="G20" s="16"/>
      <c r="H20" s="16"/>
      <c r="I20" s="17"/>
      <c r="J20" s="17"/>
      <c r="K20" s="16"/>
      <c r="L20" s="16"/>
      <c r="M20" s="16"/>
      <c r="N20" s="16"/>
      <c r="O20" s="16"/>
      <c r="P20" s="17"/>
      <c r="Q20" s="17"/>
      <c r="R20" s="16"/>
      <c r="S20" s="16"/>
      <c r="T20" s="16"/>
      <c r="U20" s="16"/>
      <c r="V20" s="16"/>
      <c r="W20" s="17"/>
      <c r="X20" s="17"/>
      <c r="Y20" s="16"/>
      <c r="Z20" s="16"/>
      <c r="AA20" s="16"/>
      <c r="AC20" s="16"/>
      <c r="AD20" s="17"/>
      <c r="AE20" s="17"/>
      <c r="AF20" s="16"/>
      <c r="AG20" s="16">
        <v>0.2</v>
      </c>
      <c r="AH20" s="16"/>
      <c r="AI20" s="18"/>
      <c r="AK20" s="17"/>
      <c r="AL20" s="17"/>
      <c r="AM20" s="16"/>
      <c r="AN20" s="16"/>
      <c r="AO20" s="18">
        <v>0.2</v>
      </c>
      <c r="AP20" s="18"/>
      <c r="AQ20" s="18"/>
      <c r="AR20" s="17"/>
      <c r="AS20" s="17"/>
      <c r="AT20" s="18"/>
      <c r="AU20" s="18"/>
      <c r="AV20" s="18"/>
      <c r="AW20" s="18"/>
      <c r="AX20" s="18"/>
      <c r="AY20" s="17"/>
      <c r="AZ20" s="17"/>
      <c r="BA20" s="18"/>
      <c r="BB20" s="18"/>
      <c r="BC20" s="18"/>
      <c r="BD20" s="18"/>
      <c r="BE20" s="18"/>
      <c r="BF20" s="17"/>
      <c r="BG20" s="17"/>
      <c r="BH20" s="16"/>
      <c r="BI20" s="16"/>
      <c r="BJ20" s="16"/>
      <c r="BK20" s="16"/>
      <c r="BL20" s="16"/>
      <c r="BM20" s="17"/>
      <c r="BN20" s="19"/>
    </row>
    <row r="21" spans="1:66" x14ac:dyDescent="0.35">
      <c r="A21" s="93"/>
      <c r="B21" s="43" t="s">
        <v>22</v>
      </c>
      <c r="C21" s="44" t="s">
        <v>17</v>
      </c>
      <c r="D21" s="34">
        <f t="shared" si="1"/>
        <v>8</v>
      </c>
      <c r="E21" s="33">
        <f t="shared" si="2"/>
        <v>1</v>
      </c>
      <c r="F21" s="27"/>
      <c r="G21" s="28"/>
      <c r="H21" s="28"/>
      <c r="I21" s="29"/>
      <c r="J21" s="29"/>
      <c r="K21" s="28"/>
      <c r="L21" s="28"/>
      <c r="M21" s="28"/>
      <c r="N21" s="28"/>
      <c r="O21" s="28"/>
      <c r="P21" s="29"/>
      <c r="Q21" s="29"/>
      <c r="R21" s="28"/>
      <c r="S21" s="28"/>
      <c r="T21" s="28"/>
      <c r="U21" s="28"/>
      <c r="V21" s="28"/>
      <c r="W21" s="29"/>
      <c r="X21" s="29"/>
      <c r="Y21" s="28"/>
      <c r="Z21" s="16"/>
      <c r="AA21" s="16"/>
      <c r="AB21" s="16"/>
      <c r="AD21" s="29"/>
      <c r="AE21" s="29"/>
      <c r="AF21" s="28"/>
      <c r="AG21" s="28"/>
      <c r="AH21" s="16">
        <v>1</v>
      </c>
      <c r="AI21" s="30"/>
      <c r="AJ21" s="30"/>
      <c r="AK21" s="29"/>
      <c r="AL21" s="29"/>
      <c r="AM21" s="28"/>
      <c r="AN21" s="28"/>
      <c r="AO21" s="28"/>
      <c r="AP21" s="30"/>
      <c r="AQ21" s="30"/>
      <c r="AR21" s="29"/>
      <c r="AS21" s="29"/>
      <c r="AT21" s="30"/>
      <c r="AU21" s="30"/>
      <c r="AV21" s="30"/>
      <c r="AW21" s="30"/>
      <c r="AX21" s="30"/>
      <c r="AY21" s="29"/>
      <c r="AZ21" s="29"/>
      <c r="BA21" s="30"/>
      <c r="BB21" s="30"/>
      <c r="BC21" s="30"/>
      <c r="BD21" s="30"/>
      <c r="BE21" s="30"/>
      <c r="BF21" s="29"/>
      <c r="BG21" s="29"/>
      <c r="BH21" s="28"/>
      <c r="BI21" s="28"/>
      <c r="BJ21" s="28"/>
      <c r="BK21" s="28"/>
      <c r="BL21" s="28"/>
      <c r="BM21" s="29"/>
      <c r="BN21" s="31"/>
    </row>
    <row r="22" spans="1:66" x14ac:dyDescent="0.35">
      <c r="A22" s="93"/>
      <c r="B22" s="42" t="s">
        <v>21</v>
      </c>
      <c r="C22" s="38" t="s">
        <v>17</v>
      </c>
      <c r="D22" s="34">
        <f>ROUNDUP(E22*39/5,1)</f>
        <v>37.5</v>
      </c>
      <c r="E22" s="33">
        <f t="shared" si="2"/>
        <v>4.8</v>
      </c>
      <c r="F22" s="27"/>
      <c r="G22" s="28"/>
      <c r="H22" s="28"/>
      <c r="I22" s="29"/>
      <c r="J22" s="29"/>
      <c r="K22" s="28"/>
      <c r="L22" s="28"/>
      <c r="M22" s="28"/>
      <c r="N22" s="28"/>
      <c r="O22" s="28"/>
      <c r="P22" s="29"/>
      <c r="Q22" s="29"/>
      <c r="R22" s="28"/>
      <c r="S22" s="28"/>
      <c r="T22" s="28"/>
      <c r="U22" s="28"/>
      <c r="V22" s="28"/>
      <c r="W22" s="29"/>
      <c r="X22" s="29"/>
      <c r="Y22" s="28"/>
      <c r="Z22" s="28"/>
      <c r="AA22" s="28"/>
      <c r="AB22" s="28"/>
      <c r="AC22" s="28"/>
      <c r="AD22" s="29"/>
      <c r="AE22" s="29"/>
      <c r="AF22" s="28"/>
      <c r="AG22" s="28"/>
      <c r="AH22" s="28"/>
      <c r="AI22" s="16">
        <v>1</v>
      </c>
      <c r="AJ22" s="16">
        <v>1</v>
      </c>
      <c r="AK22" s="29"/>
      <c r="AL22" s="29"/>
      <c r="AM22" s="16">
        <v>1</v>
      </c>
      <c r="AN22" s="30">
        <v>1</v>
      </c>
      <c r="AO22" s="30">
        <v>0.8</v>
      </c>
      <c r="AP22" s="30"/>
      <c r="AQ22" s="30"/>
      <c r="AR22" s="29"/>
      <c r="AS22" s="29"/>
      <c r="AT22" s="30"/>
      <c r="AU22" s="30"/>
      <c r="AV22" s="30"/>
      <c r="AW22" s="30"/>
      <c r="AX22" s="30"/>
      <c r="AY22" s="29"/>
      <c r="AZ22" s="29"/>
      <c r="BA22" s="30"/>
      <c r="BB22" s="30"/>
      <c r="BC22" s="30"/>
      <c r="BD22" s="30"/>
      <c r="BE22" s="30"/>
      <c r="BF22" s="29"/>
      <c r="BG22" s="29"/>
      <c r="BH22" s="28"/>
      <c r="BI22" s="28"/>
      <c r="BJ22" s="28"/>
      <c r="BK22" s="28"/>
      <c r="BL22" s="28"/>
      <c r="BM22" s="29"/>
      <c r="BN22" s="31"/>
    </row>
    <row r="23" spans="1:66" ht="16.8" customHeight="1" x14ac:dyDescent="0.35">
      <c r="A23" s="77"/>
      <c r="B23" s="78"/>
      <c r="C23" s="25"/>
      <c r="D23" s="25">
        <f>ROUNDUP(SUM(D16:D22),0)</f>
        <v>144</v>
      </c>
      <c r="E23" s="26">
        <f t="shared" ref="E23:Q23" si="3">SUM(E16:E22)</f>
        <v>18</v>
      </c>
      <c r="F23" s="29">
        <f t="shared" si="3"/>
        <v>0</v>
      </c>
      <c r="G23" s="29">
        <f t="shared" si="3"/>
        <v>0</v>
      </c>
      <c r="H23" s="29">
        <f t="shared" si="3"/>
        <v>0</v>
      </c>
      <c r="I23" s="29">
        <f t="shared" si="3"/>
        <v>0</v>
      </c>
      <c r="J23" s="29">
        <f t="shared" si="3"/>
        <v>0</v>
      </c>
      <c r="K23" s="29">
        <f t="shared" si="3"/>
        <v>0</v>
      </c>
      <c r="L23" s="29">
        <f t="shared" si="3"/>
        <v>0</v>
      </c>
      <c r="M23" s="29">
        <f t="shared" si="3"/>
        <v>0</v>
      </c>
      <c r="N23" s="29">
        <f t="shared" si="3"/>
        <v>0</v>
      </c>
      <c r="O23" s="29">
        <f t="shared" si="3"/>
        <v>0</v>
      </c>
      <c r="P23" s="29">
        <f t="shared" si="3"/>
        <v>0</v>
      </c>
      <c r="Q23" s="29">
        <f t="shared" si="3"/>
        <v>0</v>
      </c>
      <c r="R23" s="29">
        <f t="shared" ref="R23:AQ23" si="4">SUM(R16:R22)</f>
        <v>1</v>
      </c>
      <c r="S23" s="29">
        <f t="shared" si="4"/>
        <v>1</v>
      </c>
      <c r="T23" s="29">
        <f t="shared" si="4"/>
        <v>1</v>
      </c>
      <c r="U23" s="29">
        <f t="shared" si="4"/>
        <v>1</v>
      </c>
      <c r="V23" s="29">
        <f t="shared" si="4"/>
        <v>1</v>
      </c>
      <c r="W23" s="29">
        <f t="shared" si="4"/>
        <v>0</v>
      </c>
      <c r="X23" s="29">
        <f t="shared" si="4"/>
        <v>0</v>
      </c>
      <c r="Y23" s="29">
        <f t="shared" si="4"/>
        <v>1</v>
      </c>
      <c r="Z23" s="29">
        <f t="shared" si="4"/>
        <v>1</v>
      </c>
      <c r="AA23" s="29">
        <f t="shared" si="4"/>
        <v>1</v>
      </c>
      <c r="AB23" s="29">
        <f t="shared" si="4"/>
        <v>1</v>
      </c>
      <c r="AC23" s="29">
        <f t="shared" si="4"/>
        <v>1</v>
      </c>
      <c r="AD23" s="29">
        <f t="shared" si="4"/>
        <v>0</v>
      </c>
      <c r="AE23" s="29">
        <f t="shared" si="4"/>
        <v>0</v>
      </c>
      <c r="AF23" s="29">
        <f t="shared" si="4"/>
        <v>1</v>
      </c>
      <c r="AG23" s="29">
        <f t="shared" si="4"/>
        <v>1</v>
      </c>
      <c r="AH23" s="29">
        <f t="shared" si="4"/>
        <v>1</v>
      </c>
      <c r="AI23" s="29">
        <f t="shared" si="4"/>
        <v>1</v>
      </c>
      <c r="AJ23" s="29">
        <f t="shared" si="4"/>
        <v>1</v>
      </c>
      <c r="AK23" s="29">
        <f t="shared" si="4"/>
        <v>0</v>
      </c>
      <c r="AL23" s="29">
        <f t="shared" si="4"/>
        <v>0</v>
      </c>
      <c r="AM23" s="29">
        <f t="shared" si="4"/>
        <v>1</v>
      </c>
      <c r="AN23" s="29">
        <f>SUM(AN16:AN22)</f>
        <v>1</v>
      </c>
      <c r="AO23" s="29">
        <f>SUM(AO16:AO22)</f>
        <v>1</v>
      </c>
      <c r="AP23" s="29">
        <f t="shared" si="4"/>
        <v>0</v>
      </c>
      <c r="AQ23" s="29">
        <f t="shared" si="4"/>
        <v>0</v>
      </c>
      <c r="AR23" s="29">
        <f t="shared" ref="AR23:BN23" si="5">SUM(AR16:AR22)</f>
        <v>0</v>
      </c>
      <c r="AS23" s="29">
        <f t="shared" si="5"/>
        <v>0</v>
      </c>
      <c r="AT23" s="29">
        <f t="shared" si="5"/>
        <v>0</v>
      </c>
      <c r="AU23" s="29">
        <f t="shared" si="5"/>
        <v>0</v>
      </c>
      <c r="AV23" s="29">
        <f t="shared" si="5"/>
        <v>0</v>
      </c>
      <c r="AW23" s="29">
        <f t="shared" si="5"/>
        <v>0</v>
      </c>
      <c r="AX23" s="29">
        <f t="shared" si="5"/>
        <v>0</v>
      </c>
      <c r="AY23" s="29">
        <f t="shared" si="5"/>
        <v>0</v>
      </c>
      <c r="AZ23" s="29">
        <f t="shared" si="5"/>
        <v>0</v>
      </c>
      <c r="BA23" s="29">
        <f t="shared" si="5"/>
        <v>0</v>
      </c>
      <c r="BB23" s="29">
        <f t="shared" si="5"/>
        <v>0</v>
      </c>
      <c r="BC23" s="29">
        <f t="shared" si="5"/>
        <v>0</v>
      </c>
      <c r="BD23" s="29">
        <f t="shared" si="5"/>
        <v>0</v>
      </c>
      <c r="BE23" s="29">
        <f t="shared" si="5"/>
        <v>0</v>
      </c>
      <c r="BF23" s="29">
        <f t="shared" si="5"/>
        <v>0</v>
      </c>
      <c r="BG23" s="29">
        <f t="shared" si="5"/>
        <v>0</v>
      </c>
      <c r="BH23" s="29">
        <f t="shared" si="5"/>
        <v>0</v>
      </c>
      <c r="BI23" s="29">
        <f t="shared" si="5"/>
        <v>0</v>
      </c>
      <c r="BJ23" s="29">
        <f t="shared" si="5"/>
        <v>0</v>
      </c>
      <c r="BK23" s="29">
        <f t="shared" si="5"/>
        <v>0</v>
      </c>
      <c r="BL23" s="29">
        <f t="shared" si="5"/>
        <v>0</v>
      </c>
      <c r="BM23" s="29">
        <f t="shared" si="5"/>
        <v>0</v>
      </c>
      <c r="BN23" s="29">
        <f t="shared" si="5"/>
        <v>0</v>
      </c>
    </row>
    <row r="24" spans="1:66" x14ac:dyDescent="0.35">
      <c r="A24" s="76" t="s">
        <v>28</v>
      </c>
      <c r="B24" s="40" t="s">
        <v>27</v>
      </c>
      <c r="C24" s="37" t="s">
        <v>17</v>
      </c>
      <c r="D24" s="34">
        <f>ROUNDUP(E24*39/5,1)</f>
        <v>37.5</v>
      </c>
      <c r="E24" s="33">
        <f t="shared" ref="E24:E29" si="6">SUM(F24:BN24)</f>
        <v>4.8</v>
      </c>
      <c r="F24" s="20"/>
      <c r="G24" s="16"/>
      <c r="H24" s="16"/>
      <c r="I24" s="17"/>
      <c r="J24" s="17"/>
      <c r="K24" s="16"/>
      <c r="L24" s="16"/>
      <c r="M24" s="16"/>
      <c r="N24" s="16"/>
      <c r="O24" s="16"/>
      <c r="P24" s="17"/>
      <c r="Q24" s="17"/>
      <c r="R24" s="16"/>
      <c r="S24" s="16"/>
      <c r="T24" s="16"/>
      <c r="U24" s="16"/>
      <c r="V24" s="16"/>
      <c r="W24" s="17"/>
      <c r="X24" s="17"/>
      <c r="Y24" s="16"/>
      <c r="Z24" s="16"/>
      <c r="AA24" s="16"/>
      <c r="AB24" s="16"/>
      <c r="AC24" s="16"/>
      <c r="AD24" s="17"/>
      <c r="AE24" s="17"/>
      <c r="AF24" s="16"/>
      <c r="AG24" s="16"/>
      <c r="AH24" s="16"/>
      <c r="AI24" s="18"/>
      <c r="AJ24" s="18"/>
      <c r="AK24" s="17"/>
      <c r="AL24" s="17"/>
      <c r="AP24" s="16">
        <v>1</v>
      </c>
      <c r="AQ24" s="16">
        <v>1</v>
      </c>
      <c r="AR24" s="17"/>
      <c r="AS24" s="17"/>
      <c r="AT24" s="16">
        <v>1</v>
      </c>
      <c r="AU24" s="18">
        <v>1</v>
      </c>
      <c r="AV24" s="18">
        <v>0.8</v>
      </c>
      <c r="AW24" s="18"/>
      <c r="AX24" s="18"/>
      <c r="AY24" s="17"/>
      <c r="AZ24" s="17"/>
      <c r="BA24" s="18"/>
      <c r="BB24" s="18"/>
      <c r="BC24" s="18"/>
      <c r="BD24" s="18"/>
      <c r="BE24" s="18"/>
      <c r="BF24" s="17"/>
      <c r="BG24" s="17"/>
      <c r="BH24" s="16"/>
      <c r="BI24" s="16"/>
      <c r="BJ24" s="16"/>
      <c r="BK24" s="16"/>
      <c r="BL24" s="16"/>
      <c r="BM24" s="17"/>
      <c r="BN24" s="19"/>
    </row>
    <row r="25" spans="1:66" x14ac:dyDescent="0.35">
      <c r="A25" s="76"/>
      <c r="B25" s="41" t="s">
        <v>20</v>
      </c>
      <c r="C25" s="35" t="s">
        <v>17</v>
      </c>
      <c r="D25" s="34">
        <f>ROUNDUP(E25*39/5,0)</f>
        <v>2</v>
      </c>
      <c r="E25" s="33">
        <f t="shared" si="6"/>
        <v>0.2</v>
      </c>
      <c r="F25" s="20"/>
      <c r="G25" s="16"/>
      <c r="H25" s="16"/>
      <c r="I25" s="17"/>
      <c r="J25" s="17"/>
      <c r="K25" s="16"/>
      <c r="L25" s="16"/>
      <c r="M25" s="16"/>
      <c r="N25" s="16"/>
      <c r="O25" s="16"/>
      <c r="P25" s="17"/>
      <c r="Q25" s="17"/>
      <c r="R25" s="16"/>
      <c r="S25" s="16"/>
      <c r="T25" s="16"/>
      <c r="U25" s="16"/>
      <c r="V25" s="16"/>
      <c r="W25" s="17"/>
      <c r="X25" s="17"/>
      <c r="Y25" s="16"/>
      <c r="Z25" s="16"/>
      <c r="AA25" s="16"/>
      <c r="AB25" s="16"/>
      <c r="AC25" s="16"/>
      <c r="AD25" s="17"/>
      <c r="AE25" s="17"/>
      <c r="AF25" s="16"/>
      <c r="AG25" s="16"/>
      <c r="AH25" s="16"/>
      <c r="AI25" s="18"/>
      <c r="AJ25" s="18"/>
      <c r="AK25" s="17"/>
      <c r="AL25" s="17"/>
      <c r="AM25" s="16"/>
      <c r="AN25" s="16"/>
      <c r="AR25" s="17"/>
      <c r="AS25" s="17"/>
      <c r="AT25" s="16"/>
      <c r="AU25" s="18"/>
      <c r="AV25" s="18">
        <v>0.2</v>
      </c>
      <c r="AW25" s="18"/>
      <c r="AX25" s="18"/>
      <c r="AY25" s="17"/>
      <c r="AZ25" s="17"/>
      <c r="BA25" s="18"/>
      <c r="BB25" s="18"/>
      <c r="BC25" s="18"/>
      <c r="BD25" s="18"/>
      <c r="BE25" s="18"/>
      <c r="BF25" s="17"/>
      <c r="BG25" s="17"/>
      <c r="BH25" s="16"/>
      <c r="BI25" s="16"/>
      <c r="BJ25" s="16"/>
      <c r="BK25" s="16"/>
      <c r="BL25" s="16"/>
      <c r="BM25" s="17"/>
      <c r="BN25" s="19"/>
    </row>
    <row r="26" spans="1:66" x14ac:dyDescent="0.35">
      <c r="A26" s="76"/>
      <c r="B26" s="40" t="s">
        <v>23</v>
      </c>
      <c r="C26" s="37" t="s">
        <v>11</v>
      </c>
      <c r="D26" s="34">
        <f>ROUNDUP(E26*39/5,0)</f>
        <v>22</v>
      </c>
      <c r="E26" s="33">
        <f t="shared" si="6"/>
        <v>2.8</v>
      </c>
      <c r="F26" s="20"/>
      <c r="G26" s="16"/>
      <c r="H26" s="16"/>
      <c r="I26" s="17"/>
      <c r="J26" s="17"/>
      <c r="K26" s="16"/>
      <c r="L26" s="16"/>
      <c r="M26" s="16"/>
      <c r="N26" s="16"/>
      <c r="O26" s="16"/>
      <c r="P26" s="17"/>
      <c r="Q26" s="17"/>
      <c r="R26" s="16"/>
      <c r="S26" s="16"/>
      <c r="T26" s="16"/>
      <c r="U26" s="16"/>
      <c r="V26" s="16"/>
      <c r="W26" s="17"/>
      <c r="X26" s="17"/>
      <c r="Y26" s="16"/>
      <c r="Z26" s="16"/>
      <c r="AA26" s="16"/>
      <c r="AB26" s="16"/>
      <c r="AC26" s="16"/>
      <c r="AD26" s="17"/>
      <c r="AE26" s="17"/>
      <c r="AF26" s="16"/>
      <c r="AG26" s="16"/>
      <c r="AH26" s="16"/>
      <c r="AI26" s="18"/>
      <c r="AJ26" s="18"/>
      <c r="AK26" s="17"/>
      <c r="AL26" s="17"/>
      <c r="AM26" s="16"/>
      <c r="AN26" s="16"/>
      <c r="AO26" s="16"/>
      <c r="AP26" s="18"/>
      <c r="AQ26" s="18"/>
      <c r="AR26" s="17"/>
      <c r="AS26" s="17"/>
      <c r="AV26" s="18"/>
      <c r="AW26" s="18">
        <v>1</v>
      </c>
      <c r="AX26" s="18">
        <v>1</v>
      </c>
      <c r="AY26" s="17"/>
      <c r="AZ26" s="17"/>
      <c r="BA26" s="18">
        <v>0.8</v>
      </c>
      <c r="BB26" s="18"/>
      <c r="BC26" s="18"/>
      <c r="BD26" s="18"/>
      <c r="BE26" s="18"/>
      <c r="BF26" s="17"/>
      <c r="BG26" s="17"/>
      <c r="BH26" s="16"/>
      <c r="BI26" s="16"/>
      <c r="BJ26" s="16"/>
      <c r="BK26" s="16"/>
      <c r="BL26" s="16"/>
      <c r="BM26" s="17"/>
      <c r="BN26" s="19"/>
    </row>
    <row r="27" spans="1:66" x14ac:dyDescent="0.35">
      <c r="A27" s="76"/>
      <c r="B27" s="41" t="s">
        <v>29</v>
      </c>
      <c r="C27" s="35" t="s">
        <v>17</v>
      </c>
      <c r="D27" s="34">
        <f>ROUNDUP(E27*39/5,0)</f>
        <v>4</v>
      </c>
      <c r="E27" s="33">
        <f t="shared" si="6"/>
        <v>0.4</v>
      </c>
      <c r="F27" s="20"/>
      <c r="G27" s="16"/>
      <c r="H27" s="16"/>
      <c r="I27" s="17"/>
      <c r="J27" s="17"/>
      <c r="K27" s="16"/>
      <c r="L27" s="16"/>
      <c r="M27" s="16"/>
      <c r="N27" s="16"/>
      <c r="O27" s="16"/>
      <c r="P27" s="17"/>
      <c r="Q27" s="17"/>
      <c r="R27" s="16"/>
      <c r="S27" s="16"/>
      <c r="T27" s="16"/>
      <c r="U27" s="16"/>
      <c r="V27" s="16"/>
      <c r="W27" s="17"/>
      <c r="X27" s="17"/>
      <c r="Y27" s="16"/>
      <c r="Z27" s="16"/>
      <c r="AA27" s="16"/>
      <c r="AB27" s="16"/>
      <c r="AC27" s="16"/>
      <c r="AD27" s="17"/>
      <c r="AE27" s="17"/>
      <c r="AF27" s="16"/>
      <c r="AG27" s="16"/>
      <c r="AH27" s="16"/>
      <c r="AI27" s="18"/>
      <c r="AJ27" s="18"/>
      <c r="AK27" s="17"/>
      <c r="AL27" s="17"/>
      <c r="AM27" s="16"/>
      <c r="AN27" s="16"/>
      <c r="AO27" s="16"/>
      <c r="AP27" s="18"/>
      <c r="AQ27" s="18"/>
      <c r="AR27" s="17"/>
      <c r="AS27" s="17"/>
      <c r="AT27" s="18"/>
      <c r="AY27" s="17"/>
      <c r="AZ27" s="17"/>
      <c r="BA27" s="18">
        <v>0.2</v>
      </c>
      <c r="BB27" s="18"/>
      <c r="BC27" s="18"/>
      <c r="BD27" s="18"/>
      <c r="BE27" s="18">
        <v>0.2</v>
      </c>
      <c r="BF27" s="17"/>
      <c r="BG27" s="17"/>
      <c r="BH27" s="16"/>
      <c r="BI27" s="16"/>
      <c r="BJ27" s="16"/>
      <c r="BK27" s="16"/>
      <c r="BL27" s="16"/>
      <c r="BM27" s="17"/>
      <c r="BN27" s="19"/>
    </row>
    <row r="28" spans="1:66" x14ac:dyDescent="0.35">
      <c r="A28" s="76"/>
      <c r="B28" s="43" t="s">
        <v>22</v>
      </c>
      <c r="C28" s="44" t="s">
        <v>17</v>
      </c>
      <c r="D28" s="34">
        <f>ROUNDUP(E28*39/5,0)</f>
        <v>8</v>
      </c>
      <c r="E28" s="33">
        <f t="shared" si="6"/>
        <v>1</v>
      </c>
      <c r="F28" s="27"/>
      <c r="G28" s="28"/>
      <c r="H28" s="28"/>
      <c r="I28" s="29"/>
      <c r="J28" s="29"/>
      <c r="K28" s="28"/>
      <c r="L28" s="28"/>
      <c r="M28" s="28"/>
      <c r="N28" s="28"/>
      <c r="O28" s="28"/>
      <c r="P28" s="29"/>
      <c r="Q28" s="29"/>
      <c r="R28" s="28"/>
      <c r="S28" s="28"/>
      <c r="T28" s="28"/>
      <c r="U28" s="28"/>
      <c r="V28" s="28"/>
      <c r="W28" s="29"/>
      <c r="X28" s="29"/>
      <c r="Y28" s="28"/>
      <c r="Z28" s="16"/>
      <c r="AA28" s="16"/>
      <c r="AB28" s="16"/>
      <c r="AC28" s="16"/>
      <c r="AD28" s="29"/>
      <c r="AE28" s="29"/>
      <c r="AF28" s="28"/>
      <c r="AG28" s="28"/>
      <c r="AH28" s="28"/>
      <c r="AI28" s="30"/>
      <c r="AJ28" s="30"/>
      <c r="AK28" s="29"/>
      <c r="AL28" s="29"/>
      <c r="AM28" s="28"/>
      <c r="AN28" s="28"/>
      <c r="AO28" s="28"/>
      <c r="AP28" s="30"/>
      <c r="AQ28" s="30"/>
      <c r="AR28" s="29"/>
      <c r="AS28" s="29"/>
      <c r="AT28" s="30"/>
      <c r="AY28" s="29"/>
      <c r="AZ28" s="29"/>
      <c r="BA28" s="30"/>
      <c r="BB28" s="30">
        <v>1</v>
      </c>
      <c r="BC28" s="30"/>
      <c r="BD28" s="30"/>
      <c r="BE28" s="30"/>
      <c r="BF28" s="29"/>
      <c r="BG28" s="29"/>
      <c r="BH28" s="28"/>
      <c r="BI28" s="28"/>
      <c r="BJ28" s="28"/>
      <c r="BK28" s="28"/>
      <c r="BL28" s="28"/>
      <c r="BM28" s="29"/>
      <c r="BN28" s="31"/>
    </row>
    <row r="29" spans="1:66" x14ac:dyDescent="0.35">
      <c r="A29" s="76"/>
      <c r="B29" s="42" t="s">
        <v>21</v>
      </c>
      <c r="C29" s="38" t="s">
        <v>17</v>
      </c>
      <c r="D29" s="34">
        <f>ROUNDUP(E29*39/5,0)</f>
        <v>22</v>
      </c>
      <c r="E29" s="33">
        <f t="shared" si="6"/>
        <v>2.8</v>
      </c>
      <c r="F29" s="27"/>
      <c r="G29" s="28"/>
      <c r="H29" s="28"/>
      <c r="I29" s="29"/>
      <c r="J29" s="29"/>
      <c r="K29" s="28"/>
      <c r="L29" s="28"/>
      <c r="M29" s="28"/>
      <c r="N29" s="28"/>
      <c r="O29" s="28"/>
      <c r="P29" s="29"/>
      <c r="Q29" s="29"/>
      <c r="R29" s="28"/>
      <c r="S29" s="28"/>
      <c r="T29" s="28"/>
      <c r="U29" s="28"/>
      <c r="V29" s="28"/>
      <c r="W29" s="29"/>
      <c r="X29" s="29"/>
      <c r="Y29" s="28"/>
      <c r="Z29" s="28"/>
      <c r="AA29" s="28"/>
      <c r="AB29" s="28"/>
      <c r="AC29" s="28"/>
      <c r="AD29" s="29"/>
      <c r="AE29" s="29"/>
      <c r="AF29" s="28"/>
      <c r="AG29" s="28"/>
      <c r="AH29" s="28"/>
      <c r="AI29" s="30"/>
      <c r="AJ29" s="30"/>
      <c r="AK29" s="29"/>
      <c r="AL29" s="29"/>
      <c r="AM29" s="28"/>
      <c r="AN29" s="28"/>
      <c r="AO29" s="28"/>
      <c r="AP29" s="30"/>
      <c r="AQ29" s="30"/>
      <c r="AR29" s="29"/>
      <c r="AS29" s="29"/>
      <c r="AT29" s="30"/>
      <c r="AY29" s="29"/>
      <c r="AZ29" s="29"/>
      <c r="BA29" s="30"/>
      <c r="BB29" s="30"/>
      <c r="BC29" s="30">
        <v>1</v>
      </c>
      <c r="BD29" s="30">
        <v>1</v>
      </c>
      <c r="BE29" s="30">
        <v>0.8</v>
      </c>
      <c r="BF29" s="29"/>
      <c r="BG29" s="29"/>
      <c r="BH29" s="28"/>
      <c r="BI29" s="28"/>
      <c r="BJ29" s="28"/>
      <c r="BK29" s="28"/>
      <c r="BL29" s="28"/>
      <c r="BM29" s="29"/>
      <c r="BN29" s="31"/>
    </row>
    <row r="30" spans="1:66" ht="16.8" customHeight="1" x14ac:dyDescent="0.35">
      <c r="A30" s="77"/>
      <c r="B30" s="78"/>
      <c r="C30" s="25"/>
      <c r="D30" s="25">
        <f>ROUNDUP(SUM(D24:D29),0)</f>
        <v>96</v>
      </c>
      <c r="E30" s="26">
        <f t="shared" ref="E30:AJ30" si="7">SUM(E24:E29)</f>
        <v>12</v>
      </c>
      <c r="F30" s="29">
        <f t="shared" si="7"/>
        <v>0</v>
      </c>
      <c r="G30" s="29">
        <f t="shared" si="7"/>
        <v>0</v>
      </c>
      <c r="H30" s="29">
        <f t="shared" si="7"/>
        <v>0</v>
      </c>
      <c r="I30" s="29">
        <f t="shared" si="7"/>
        <v>0</v>
      </c>
      <c r="J30" s="29">
        <f t="shared" si="7"/>
        <v>0</v>
      </c>
      <c r="K30" s="29">
        <f t="shared" si="7"/>
        <v>0</v>
      </c>
      <c r="L30" s="29">
        <f t="shared" si="7"/>
        <v>0</v>
      </c>
      <c r="M30" s="29">
        <f t="shared" si="7"/>
        <v>0</v>
      </c>
      <c r="N30" s="29">
        <f t="shared" si="7"/>
        <v>0</v>
      </c>
      <c r="O30" s="29">
        <f t="shared" si="7"/>
        <v>0</v>
      </c>
      <c r="P30" s="29">
        <f t="shared" si="7"/>
        <v>0</v>
      </c>
      <c r="Q30" s="29">
        <f t="shared" si="7"/>
        <v>0</v>
      </c>
      <c r="R30" s="29">
        <f t="shared" si="7"/>
        <v>0</v>
      </c>
      <c r="S30" s="29">
        <f t="shared" si="7"/>
        <v>0</v>
      </c>
      <c r="T30" s="29">
        <f t="shared" si="7"/>
        <v>0</v>
      </c>
      <c r="U30" s="29">
        <f t="shared" si="7"/>
        <v>0</v>
      </c>
      <c r="V30" s="29">
        <f t="shared" si="7"/>
        <v>0</v>
      </c>
      <c r="W30" s="29">
        <f t="shared" si="7"/>
        <v>0</v>
      </c>
      <c r="X30" s="29">
        <f t="shared" si="7"/>
        <v>0</v>
      </c>
      <c r="Y30" s="29">
        <f t="shared" si="7"/>
        <v>0</v>
      </c>
      <c r="Z30" s="29">
        <f t="shared" si="7"/>
        <v>0</v>
      </c>
      <c r="AA30" s="29">
        <f t="shared" si="7"/>
        <v>0</v>
      </c>
      <c r="AB30" s="29">
        <f t="shared" si="7"/>
        <v>0</v>
      </c>
      <c r="AC30" s="29">
        <f t="shared" si="7"/>
        <v>0</v>
      </c>
      <c r="AD30" s="29">
        <f t="shared" si="7"/>
        <v>0</v>
      </c>
      <c r="AE30" s="29">
        <f t="shared" si="7"/>
        <v>0</v>
      </c>
      <c r="AF30" s="29">
        <f t="shared" si="7"/>
        <v>0</v>
      </c>
      <c r="AG30" s="29">
        <f t="shared" si="7"/>
        <v>0</v>
      </c>
      <c r="AH30" s="29">
        <f t="shared" si="7"/>
        <v>0</v>
      </c>
      <c r="AI30" s="29">
        <f t="shared" si="7"/>
        <v>0</v>
      </c>
      <c r="AJ30" s="29">
        <f t="shared" si="7"/>
        <v>0</v>
      </c>
      <c r="AK30" s="29">
        <f t="shared" ref="AK30:BN30" si="8">SUM(AK24:AK29)</f>
        <v>0</v>
      </c>
      <c r="AL30" s="29">
        <f t="shared" si="8"/>
        <v>0</v>
      </c>
      <c r="AM30" s="29">
        <f t="shared" si="8"/>
        <v>0</v>
      </c>
      <c r="AN30" s="29">
        <f t="shared" si="8"/>
        <v>0</v>
      </c>
      <c r="AO30" s="29">
        <f t="shared" si="8"/>
        <v>0</v>
      </c>
      <c r="AP30" s="29">
        <f t="shared" si="8"/>
        <v>1</v>
      </c>
      <c r="AQ30" s="29">
        <f t="shared" si="8"/>
        <v>1</v>
      </c>
      <c r="AR30" s="29">
        <f t="shared" si="8"/>
        <v>0</v>
      </c>
      <c r="AS30" s="29">
        <f t="shared" si="8"/>
        <v>0</v>
      </c>
      <c r="AT30" s="29">
        <f t="shared" si="8"/>
        <v>1</v>
      </c>
      <c r="AU30" s="29">
        <f t="shared" si="8"/>
        <v>1</v>
      </c>
      <c r="AV30" s="29">
        <f t="shared" si="8"/>
        <v>1</v>
      </c>
      <c r="AW30" s="29">
        <f t="shared" si="8"/>
        <v>1</v>
      </c>
      <c r="AX30" s="29">
        <f t="shared" si="8"/>
        <v>1</v>
      </c>
      <c r="AY30" s="29">
        <f t="shared" si="8"/>
        <v>0</v>
      </c>
      <c r="AZ30" s="29">
        <f t="shared" si="8"/>
        <v>0</v>
      </c>
      <c r="BA30" s="29">
        <f t="shared" si="8"/>
        <v>1</v>
      </c>
      <c r="BB30" s="29">
        <f t="shared" si="8"/>
        <v>1</v>
      </c>
      <c r="BC30" s="29">
        <f t="shared" si="8"/>
        <v>1</v>
      </c>
      <c r="BD30" s="29">
        <f t="shared" si="8"/>
        <v>1</v>
      </c>
      <c r="BE30" s="29">
        <f t="shared" si="8"/>
        <v>1</v>
      </c>
      <c r="BF30" s="29">
        <f t="shared" si="8"/>
        <v>0</v>
      </c>
      <c r="BG30" s="29">
        <f t="shared" si="8"/>
        <v>0</v>
      </c>
      <c r="BH30" s="29">
        <f t="shared" si="8"/>
        <v>0</v>
      </c>
      <c r="BI30" s="29">
        <f t="shared" si="8"/>
        <v>0</v>
      </c>
      <c r="BJ30" s="29">
        <f t="shared" si="8"/>
        <v>0</v>
      </c>
      <c r="BK30" s="29">
        <f t="shared" si="8"/>
        <v>0</v>
      </c>
      <c r="BL30" s="29">
        <f t="shared" si="8"/>
        <v>0</v>
      </c>
      <c r="BM30" s="29">
        <f t="shared" si="8"/>
        <v>0</v>
      </c>
      <c r="BN30" s="29">
        <f t="shared" si="8"/>
        <v>0</v>
      </c>
    </row>
    <row r="31" spans="1:66" s="57" customFormat="1" ht="16.8" customHeight="1" x14ac:dyDescent="0.45">
      <c r="A31" s="79" t="s">
        <v>26</v>
      </c>
      <c r="B31" s="79"/>
      <c r="C31" s="54"/>
      <c r="D31" s="54">
        <f>D30+D23</f>
        <v>240</v>
      </c>
      <c r="E31" s="55">
        <f>E30+E23</f>
        <v>30</v>
      </c>
      <c r="F31" s="56">
        <f t="shared" ref="F31:Q31" si="9">SUM(F25:F30)</f>
        <v>0</v>
      </c>
      <c r="G31" s="56">
        <f t="shared" si="9"/>
        <v>0</v>
      </c>
      <c r="H31" s="56">
        <f t="shared" si="9"/>
        <v>0</v>
      </c>
      <c r="I31" s="56">
        <f t="shared" si="9"/>
        <v>0</v>
      </c>
      <c r="J31" s="56">
        <f t="shared" si="9"/>
        <v>0</v>
      </c>
      <c r="K31" s="56">
        <f t="shared" si="9"/>
        <v>0</v>
      </c>
      <c r="L31" s="56">
        <f t="shared" si="9"/>
        <v>0</v>
      </c>
      <c r="M31" s="56">
        <f t="shared" si="9"/>
        <v>0</v>
      </c>
      <c r="N31" s="56">
        <f t="shared" si="9"/>
        <v>0</v>
      </c>
      <c r="O31" s="56">
        <f t="shared" si="9"/>
        <v>0</v>
      </c>
      <c r="P31" s="56">
        <f t="shared" si="9"/>
        <v>0</v>
      </c>
      <c r="Q31" s="56">
        <f t="shared" si="9"/>
        <v>0</v>
      </c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</row>
    <row r="32" spans="1:66" x14ac:dyDescent="0.35">
      <c r="A32" s="12"/>
      <c r="B32" s="7"/>
      <c r="C32" s="7"/>
      <c r="D32" s="7"/>
      <c r="E32" s="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35">
      <c r="A33" s="5"/>
      <c r="B33" s="10"/>
      <c r="C33" s="11"/>
      <c r="D33" s="11"/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35">
      <c r="A34" s="5"/>
      <c r="B34" s="13"/>
      <c r="C34" s="9"/>
      <c r="D34" s="9"/>
      <c r="E34" s="9"/>
      <c r="F34" s="9"/>
      <c r="G34" s="9"/>
      <c r="H34" s="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35">
      <c r="A35" s="5"/>
      <c r="B35" s="13"/>
      <c r="C35" s="9"/>
      <c r="D35" s="9"/>
      <c r="E35" s="9"/>
      <c r="F35" s="9"/>
      <c r="G35" s="9"/>
      <c r="H35" s="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35">
      <c r="A36" s="5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35">
      <c r="A37" s="5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35">
      <c r="A38" s="5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35">
      <c r="A39" s="5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35">
      <c r="A40" s="5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x14ac:dyDescent="0.35">
      <c r="A41" s="5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35">
      <c r="A42" s="5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x14ac:dyDescent="0.35">
      <c r="A43" s="5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35">
      <c r="A44" s="5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x14ac:dyDescent="0.35">
      <c r="A45" s="5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35">
      <c r="A46" s="5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x14ac:dyDescent="0.35">
      <c r="A47" s="5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x14ac:dyDescent="0.35">
      <c r="A48" s="5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x14ac:dyDescent="0.35">
      <c r="A49" s="5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x14ac:dyDescent="0.35">
      <c r="A50" s="5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x14ac:dyDescent="0.35">
      <c r="A51" s="5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x14ac:dyDescent="0.35">
      <c r="A52" s="5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x14ac:dyDescent="0.35">
      <c r="A53" s="5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x14ac:dyDescent="0.35">
      <c r="A54" s="5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x14ac:dyDescent="0.35">
      <c r="A55" s="5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x14ac:dyDescent="0.35">
      <c r="A56" s="5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x14ac:dyDescent="0.35">
      <c r="A57" s="5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x14ac:dyDescent="0.35">
      <c r="A58" s="5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x14ac:dyDescent="0.35">
      <c r="A59" s="5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35">
      <c r="A60" s="5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x14ac:dyDescent="0.35">
      <c r="A61" s="5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x14ac:dyDescent="0.35">
      <c r="A62" s="5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x14ac:dyDescent="0.35">
      <c r="A63" s="5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x14ac:dyDescent="0.35">
      <c r="A64" s="5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x14ac:dyDescent="0.35">
      <c r="A65" s="5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x14ac:dyDescent="0.35">
      <c r="A66" s="5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x14ac:dyDescent="0.35">
      <c r="A67" s="5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x14ac:dyDescent="0.35">
      <c r="A68" s="5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x14ac:dyDescent="0.35">
      <c r="A69" s="5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35">
      <c r="A70" s="5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x14ac:dyDescent="0.35">
      <c r="A71" s="5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x14ac:dyDescent="0.35">
      <c r="A72" s="5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x14ac:dyDescent="0.35">
      <c r="A73" s="5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35">
      <c r="A74" s="5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x14ac:dyDescent="0.35">
      <c r="A75" s="5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35">
      <c r="A76" s="5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x14ac:dyDescent="0.35">
      <c r="A77" s="5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35">
      <c r="A78" s="5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35">
      <c r="A79" s="5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35">
      <c r="A80" s="5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</sheetData>
  <mergeCells count="28">
    <mergeCell ref="A24:A29"/>
    <mergeCell ref="A30:B30"/>
    <mergeCell ref="A31:B31"/>
    <mergeCell ref="BC2:BN2"/>
    <mergeCell ref="BC3:BN3"/>
    <mergeCell ref="A23:B23"/>
    <mergeCell ref="A1:B3"/>
    <mergeCell ref="A6:A11"/>
    <mergeCell ref="A16:A22"/>
    <mergeCell ref="A12:A15"/>
    <mergeCell ref="B12:B15"/>
    <mergeCell ref="AL12:BN13"/>
    <mergeCell ref="BC1:BN1"/>
    <mergeCell ref="C1:BB1"/>
    <mergeCell ref="C2:BB3"/>
    <mergeCell ref="AM14:AS14"/>
    <mergeCell ref="F6:BN11"/>
    <mergeCell ref="AT14:AZ14"/>
    <mergeCell ref="BA14:BG14"/>
    <mergeCell ref="BH14:BN14"/>
    <mergeCell ref="F12:F13"/>
    <mergeCell ref="G12:AK13"/>
    <mergeCell ref="C12:E14"/>
    <mergeCell ref="AF14:AL14"/>
    <mergeCell ref="F14:J14"/>
    <mergeCell ref="K14:Q14"/>
    <mergeCell ref="R14:X14"/>
    <mergeCell ref="Y14:AE14"/>
  </mergeCells>
  <conditionalFormatting sqref="F16:BN18 F19:Y19 F20:AA20 F21:AB21 AD21:BN21 AC19:BN19 AC20:AI20 AK20:BN20 F22:BN22 AR24:BN25 F25:AN25 F24:AL24 AP24:AQ24 F26:AS26 F27:AT29 AY26:BN29 AV26:AX26">
    <cfRule type="colorScale" priority="5">
      <colorScale>
        <cfvo type="num" val="0.5"/>
        <cfvo type="num" val="1"/>
        <color rgb="FFFFC000"/>
        <color rgb="FF00B050"/>
      </colorScale>
    </cfRule>
  </conditionalFormatting>
  <conditionalFormatting sqref="F23:BN23">
    <cfRule type="cellIs" dxfId="1" priority="4" operator="equal">
      <formula>1</formula>
    </cfRule>
  </conditionalFormatting>
  <conditionalFormatting sqref="F30:BN31">
    <cfRule type="cellIs" dxfId="0" priority="1" operator="equal">
      <formula>1</formula>
    </cfRule>
  </conditionalFormatting>
  <pageMargins left="0.7" right="0.7" top="0.75" bottom="0.75" header="0.3" footer="0.3"/>
  <pageSetup paperSize="8" scale="63" fitToHeight="0" orientation="landscape" r:id="rId1"/>
  <headerFooter>
    <oddFooter>&amp;L&amp;"Vinci Sans,Normal"&amp;K000000Page &amp;P sur &amp;N&amp;R&amp;G</oddFooter>
  </headerFooter>
  <rowBreaks count="1" manualBreakCount="1">
    <brk id="32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Retro-planning</vt:lpstr>
      <vt:lpstr>'Retro-planning'!Zone_d_impression</vt:lpstr>
    </vt:vector>
  </TitlesOfParts>
  <Company>VINCI Energies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PEIGNON Samuel</dc:creator>
  <cp:lastModifiedBy>PEIGNON Samuel</cp:lastModifiedBy>
  <cp:lastPrinted>2015-08-21T06:43:31Z</cp:lastPrinted>
  <dcterms:created xsi:type="dcterms:W3CDTF">2014-03-31T12:50:19Z</dcterms:created>
  <dcterms:modified xsi:type="dcterms:W3CDTF">2026-10-06T05:30:58Z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7eac39-ccfd-46a7-9d9e-fbcf3e6c152d_Enabled">
    <vt:lpwstr>true</vt:lpwstr>
  </property>
  <property fmtid="{D5CDD505-2E9C-101B-9397-08002B2CF9AE}" pid="3" name="MSIP_Label_d87eac39-ccfd-46a7-9d9e-fbcf3e6c152d_SetDate">
    <vt:lpwstr>2026-10-05T21:29:15Z</vt:lpwstr>
  </property>
  <property fmtid="{D5CDD505-2E9C-101B-9397-08002B2CF9AE}" pid="4" name="MSIP_Label_d87eac39-ccfd-46a7-9d9e-fbcf3e6c152d_Method">
    <vt:lpwstr>Privileged</vt:lpwstr>
  </property>
  <property fmtid="{D5CDD505-2E9C-101B-9397-08002B2CF9AE}" pid="5" name="MSIP_Label_d87eac39-ccfd-46a7-9d9e-fbcf3e6c152d_Name">
    <vt:lpwstr>Pas de classification</vt:lpwstr>
  </property>
  <property fmtid="{D5CDD505-2E9C-101B-9397-08002B2CF9AE}" pid="6" name="MSIP_Label_d87eac39-ccfd-46a7-9d9e-fbcf3e6c152d_SiteId">
    <vt:lpwstr>cae7d061-08f3-40dd-80c3-3c0b8889224a</vt:lpwstr>
  </property>
  <property fmtid="{D5CDD505-2E9C-101B-9397-08002B2CF9AE}" pid="7" name="MSIP_Label_d87eac39-ccfd-46a7-9d9e-fbcf3e6c152d_ActionId">
    <vt:lpwstr>0f9ff2a3-0d3a-47d6-a06c-81a16828ab92</vt:lpwstr>
  </property>
  <property fmtid="{D5CDD505-2E9C-101B-9397-08002B2CF9AE}" pid="8" name="MSIP_Label_d87eac39-ccfd-46a7-9d9e-fbcf3e6c152d_ContentBits">
    <vt:lpwstr>0</vt:lpwstr>
  </property>
  <property fmtid="{D5CDD505-2E9C-101B-9397-08002B2CF9AE}" pid="9" name="MSIP_Label_d87eac39-ccfd-46a7-9d9e-fbcf3e6c152d_Tag">
    <vt:lpwstr>10, 0, 1, 1</vt:lpwstr>
  </property>
</Properties>
</file>